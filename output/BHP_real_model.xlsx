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aluation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9C000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2" borderId="0" applyAlignment="1" pivotButton="0" quotePrefix="0" xfId="0">
      <alignment horizontal="center"/>
    </xf>
    <xf numFmtId="3" fontId="0" fillId="0" borderId="0" pivotButton="0" quotePrefix="0" xfId="0"/>
    <xf numFmtId="0" fontId="3" fillId="3" borderId="0" pivotButton="0" quotePrefix="0" xfId="0"/>
    <xf numFmtId="3" fontId="3" fillId="3" borderId="0" pivotButton="0" quotePrefix="0" xfId="0"/>
    <xf numFmtId="164" fontId="3" fillId="3" borderId="0" pivotButton="0" quotePrefix="0" xfId="0"/>
    <xf numFmtId="4" fontId="3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164" fontId="4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Valuation range (per share)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'Sensitivity'!$A$13:$A$15</f>
            </numRef>
          </cat>
          <val>
            <numRef>
              <f>'Sensitivity'!$B$13:$B$15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1" t="inlineStr">
        <is>
          <t>BHP Group Limited (BHP.AX)</t>
        </is>
      </c>
    </row>
    <row r="2">
      <c r="A2" t="inlineStr">
        <is>
          <t>Equity valuation model  ·  prepared 2026-07-02</t>
        </is>
      </c>
    </row>
    <row r="4">
      <c r="A4" s="2" t="inlineStr">
        <is>
          <t>NOT INVESTMENT ADVICE. Personal research; every input's source and verification status is on the Assumptions sheet.</t>
        </is>
      </c>
    </row>
    <row r="6">
      <c r="A6" s="3" t="inlineStr">
        <is>
          <t>Rating</t>
        </is>
      </c>
      <c r="B6" t="inlineStr">
        <is>
          <t>HOLD  (target A$53.77)</t>
        </is>
      </c>
    </row>
    <row r="7">
      <c r="A7" s="3" t="inlineStr">
        <is>
          <t>Target / share (model ccy)</t>
        </is>
      </c>
      <c r="B7" t="n">
        <v>53.77</v>
      </c>
    </row>
    <row r="8">
      <c r="A8" s="3" t="inlineStr">
        <is>
          <t>Reporting currency</t>
        </is>
      </c>
      <c r="B8" t="inlineStr">
        <is>
          <t>AUD</t>
        </is>
      </c>
    </row>
    <row r="9">
      <c r="A9" s="3" t="inlineStr">
        <is>
          <t>WACC</t>
        </is>
      </c>
      <c r="B9" s="4" t="n">
        <v>0.079</v>
      </c>
    </row>
    <row r="10">
      <c r="A10" s="3" t="inlineStr">
        <is>
          <t>Enterprise value (m)</t>
        </is>
      </c>
      <c r="B10" t="n">
        <v>274951</v>
      </c>
    </row>
    <row r="11">
      <c r="A11" s="3" t="inlineStr">
        <is>
          <t>Equity value (m)</t>
        </is>
      </c>
      <c r="B11" t="n">
        <v>249597</v>
      </c>
    </row>
    <row r="12">
      <c r="A12" s="3" t="inlineStr">
        <is>
          <t>Entries (verified / total)</t>
        </is>
      </c>
      <c r="B12" t="inlineStr">
        <is>
          <t>24 / 24</t>
        </is>
      </c>
    </row>
  </sheetData>
  <mergeCells count="1"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</cols>
  <sheetData>
    <row r="1">
      <c r="A1" s="1" t="inlineStr">
        <is>
          <t>Sum-of-the-parts valuation</t>
        </is>
      </c>
    </row>
    <row r="3">
      <c r="A3" s="5" t="inlineStr">
        <is>
          <t>Component (AUDm)</t>
        </is>
      </c>
      <c r="B3" s="5" t="inlineStr">
        <is>
          <t>Value</t>
        </is>
      </c>
      <c r="C3" s="5" t="inlineStr">
        <is>
          <t>% of EV</t>
        </is>
      </c>
    </row>
    <row r="4">
      <c r="A4" t="inlineStr">
        <is>
          <t>Iron Ore</t>
        </is>
      </c>
      <c r="B4" s="6" t="n">
        <v>114863.53</v>
      </c>
      <c r="C4" s="4" t="n">
        <v>0.4177597214161347</v>
      </c>
    </row>
    <row r="5">
      <c r="A5" t="inlineStr">
        <is>
          <t>Copper</t>
        </is>
      </c>
      <c r="B5" s="6" t="n">
        <v>147402.73</v>
      </c>
      <c r="C5" s="4" t="n">
        <v>0.5361051020946552</v>
      </c>
    </row>
    <row r="6">
      <c r="A6" t="inlineStr">
        <is>
          <t>Coal</t>
        </is>
      </c>
      <c r="B6" s="6" t="n">
        <v>4183.82</v>
      </c>
      <c r="C6" s="4" t="n">
        <v>0.01521658840289136</v>
      </c>
    </row>
    <row r="7">
      <c r="A7" t="inlineStr">
        <is>
          <t>Potash / other (invested capital)</t>
        </is>
      </c>
      <c r="B7" s="6" t="n">
        <v>12365.77</v>
      </c>
      <c r="C7" s="4" t="n">
        <v>0.04497441038358044</v>
      </c>
    </row>
    <row r="8">
      <c r="A8" t="inlineStr">
        <is>
          <t>Less: corporate (capitalised)</t>
        </is>
      </c>
      <c r="B8" s="6" t="n">
        <v>-3864.67</v>
      </c>
      <c r="C8" s="4" t="n">
        <v>-0.01405582229726165</v>
      </c>
    </row>
    <row r="9">
      <c r="A9" s="7" t="inlineStr">
        <is>
          <t>Enterprise value</t>
        </is>
      </c>
      <c r="B9" s="8" t="n">
        <v>274951.19</v>
      </c>
      <c r="C9" s="9" t="n">
        <v>1</v>
      </c>
    </row>
    <row r="10">
      <c r="A10" t="inlineStr">
        <is>
          <t>Less: net debt</t>
        </is>
      </c>
      <c r="B10" s="6" t="n">
        <v>-18748.85</v>
      </c>
    </row>
    <row r="11">
      <c r="A11" t="inlineStr">
        <is>
          <t>Less: non-controlling interests</t>
        </is>
      </c>
      <c r="B11" s="6" t="n">
        <v>-6605.04</v>
      </c>
    </row>
    <row r="12">
      <c r="A12" s="7" t="inlineStr">
        <is>
          <t>Equity value</t>
        </is>
      </c>
      <c r="B12" s="8" t="n">
        <v>249597.3</v>
      </c>
      <c r="C12" s="7" t="n"/>
    </row>
    <row r="13">
      <c r="A13" t="inlineStr">
        <is>
          <t>Shares (m)</t>
        </is>
      </c>
      <c r="B13" s="6" t="n">
        <v>5080.69</v>
      </c>
    </row>
    <row r="14">
      <c r="A14" s="7" t="inlineStr">
        <is>
          <t>Value per share</t>
        </is>
      </c>
      <c r="B14" s="10" t="n">
        <v>49.13</v>
      </c>
      <c r="C14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WACC build</t>
        </is>
      </c>
    </row>
    <row r="3">
      <c r="A3" s="5" t="inlineStr">
        <is>
          <t>Component</t>
        </is>
      </c>
      <c r="B3" s="5" t="inlineStr">
        <is>
          <t>Value</t>
        </is>
      </c>
    </row>
    <row r="4">
      <c r="A4" t="inlineStr">
        <is>
          <t>Risk-free rate</t>
        </is>
      </c>
      <c r="B4" s="4" t="n">
        <v>4.2</v>
      </c>
    </row>
    <row r="5">
      <c r="A5" t="inlineStr">
        <is>
          <t>Equity risk premium</t>
        </is>
      </c>
      <c r="B5" s="4" t="n">
        <v>4.8</v>
      </c>
    </row>
    <row r="6">
      <c r="A6" t="inlineStr">
        <is>
          <t>Equity beta</t>
        </is>
      </c>
    </row>
    <row r="7">
      <c r="A7" s="7" t="inlineStr">
        <is>
          <t>Cost of equity (CAPM)</t>
        </is>
      </c>
      <c r="B7" s="9" t="n">
        <v>0.08160000000000001</v>
      </c>
    </row>
    <row r="8">
      <c r="A8" t="inlineStr">
        <is>
          <t>Pre-tax cost of debt</t>
        </is>
      </c>
      <c r="B8" s="4" t="n">
        <v>5.3</v>
      </c>
    </row>
    <row r="9">
      <c r="A9" t="inlineStr">
        <is>
          <t>Tax rate</t>
        </is>
      </c>
      <c r="B9" s="4" t="n">
        <v>30</v>
      </c>
    </row>
    <row r="10">
      <c r="A10" t="inlineStr">
        <is>
          <t>Market value of equity</t>
        </is>
      </c>
    </row>
    <row r="11">
      <c r="A11" t="inlineStr">
        <is>
          <t>Market value of net debt</t>
        </is>
      </c>
    </row>
    <row r="12">
      <c r="A12" s="7" t="inlineStr">
        <is>
          <t>WACC</t>
        </is>
      </c>
      <c r="B12" s="9" t="n">
        <v>0.079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8" customWidth="1" min="4" max="4"/>
    <col width="13" customWidth="1" min="5" max="5"/>
    <col width="16" customWidth="1" min="6" max="6"/>
    <col width="9" customWidth="1" min="7" max="7"/>
    <col width="12" customWidth="1" min="8" max="8"/>
    <col width="44" customWidth="1" min="9" max="9"/>
    <col width="30" customWidth="1" min="10" max="10"/>
  </cols>
  <sheetData>
    <row r="1">
      <c r="A1" s="1" t="inlineStr">
        <is>
          <t>Assumptions &amp; provenance (the ledger)</t>
        </is>
      </c>
    </row>
    <row r="3">
      <c r="A3" s="5" t="inlineStr">
        <is>
          <t>Key</t>
        </is>
      </c>
      <c r="B3" s="5" t="inlineStr">
        <is>
          <t>Input</t>
        </is>
      </c>
      <c r="C3" s="5" t="inlineStr">
        <is>
          <t>Value</t>
        </is>
      </c>
      <c r="D3" s="5" t="inlineStr">
        <is>
          <t>Unit</t>
        </is>
      </c>
      <c r="E3" s="5" t="inlineStr">
        <is>
          <t>Kind</t>
        </is>
      </c>
      <c r="F3" s="5" t="inlineStr">
        <is>
          <t>Source</t>
        </is>
      </c>
      <c r="G3" s="5" t="inlineStr">
        <is>
          <t>Verified</t>
        </is>
      </c>
      <c r="H3" s="5" t="inlineStr">
        <is>
          <t>Method</t>
        </is>
      </c>
      <c r="I3" s="5" t="inlineStr">
        <is>
          <t>Rationale</t>
        </is>
      </c>
      <c r="J3" s="5" t="inlineStr">
        <is>
          <t>Citation</t>
        </is>
      </c>
    </row>
    <row r="4">
      <c r="A4" s="11" t="inlineStr">
        <is>
          <t>group.share_price</t>
        </is>
      </c>
      <c r="B4" s="11" t="inlineStr">
        <is>
          <t>Share price (last close)</t>
        </is>
      </c>
      <c r="C4" s="11" t="n">
        <v>59.57</v>
      </c>
      <c r="D4" s="11" t="inlineStr">
        <is>
          <t>AUD</t>
        </is>
      </c>
      <c r="E4" s="11" t="inlineStr">
        <is>
          <t>hard_fact</t>
        </is>
      </c>
      <c r="F4" s="11" t="inlineStr">
        <is>
          <t>External Data</t>
        </is>
      </c>
      <c r="G4" s="11" t="inlineStr">
        <is>
          <t>yes</t>
        </is>
      </c>
      <c r="H4" s="11" t="inlineStr"/>
      <c r="I4" s="12" t="inlineStr"/>
      <c r="J4" s="12" t="inlineStr">
        <is>
          <t>yfinance BHP.AX, live</t>
        </is>
      </c>
    </row>
    <row r="5">
      <c r="A5" s="11" t="inlineStr">
        <is>
          <t>group.shares_outstanding</t>
        </is>
      </c>
      <c r="B5" s="11" t="inlineStr">
        <is>
          <t>Shares outstanding</t>
        </is>
      </c>
      <c r="C5" s="11" t="n">
        <v>5081</v>
      </c>
      <c r="D5" s="11" t="inlineStr">
        <is>
          <t>m shares</t>
        </is>
      </c>
      <c r="E5" s="11" t="inlineStr">
        <is>
          <t>hard_fact</t>
        </is>
      </c>
      <c r="F5" s="11" t="inlineStr">
        <is>
          <t>External Data</t>
        </is>
      </c>
      <c r="G5" s="11" t="inlineStr">
        <is>
          <t>yes</t>
        </is>
      </c>
      <c r="H5" s="11" t="inlineStr"/>
      <c r="I5" s="12" t="inlineStr"/>
      <c r="J5" s="12" t="inlineStr">
        <is>
          <t>yfinance BHP.AX, live</t>
        </is>
      </c>
    </row>
    <row r="6">
      <c r="A6" s="11" t="inlineStr">
        <is>
          <t>fx.aud_usd</t>
        </is>
      </c>
      <c r="B6" s="11" t="inlineStr">
        <is>
          <t>FX rate (USD per AUD)</t>
        </is>
      </c>
      <c r="C6" s="11" t="n">
        <v>0.6893</v>
      </c>
      <c r="D6" s="11" t="inlineStr">
        <is>
          <t>USD/AUD</t>
        </is>
      </c>
      <c r="E6" s="11" t="inlineStr">
        <is>
          <t>hard_fact</t>
        </is>
      </c>
      <c r="F6" s="11" t="inlineStr">
        <is>
          <t>External Data</t>
        </is>
      </c>
      <c r="G6" s="11" t="inlineStr">
        <is>
          <t>yes</t>
        </is>
      </c>
      <c r="H6" s="11" t="inlineStr"/>
      <c r="I6" s="12" t="inlineStr"/>
      <c r="J6" s="12" t="inlineStr">
        <is>
          <t>yfinance AUDUSD=X spot, live</t>
        </is>
      </c>
    </row>
    <row r="7">
      <c r="A7" s="11" t="inlineStr">
        <is>
          <t>seg.iron_ore_ebitda</t>
        </is>
      </c>
      <c r="B7" s="11" t="inlineStr">
        <is>
          <t>Iron Ore underlying EBITDA</t>
        </is>
      </c>
      <c r="C7" s="11" t="n">
        <v>14396</v>
      </c>
      <c r="D7" s="11" t="inlineStr">
        <is>
          <t>US$m</t>
        </is>
      </c>
      <c r="E7" s="11" t="inlineStr">
        <is>
          <t>hard_fact</t>
        </is>
      </c>
      <c r="F7" s="11" t="inlineStr">
        <is>
          <t>Company Filing</t>
        </is>
      </c>
      <c r="G7" s="11" t="inlineStr">
        <is>
          <t>yes</t>
        </is>
      </c>
      <c r="H7" s="11" t="inlineStr"/>
      <c r="I7" s="12" t="inlineStr"/>
      <c r="J7" s="12" t="inlineStr">
        <is>
          <t>AR25 Financial performance summary, p.21</t>
        </is>
      </c>
    </row>
    <row r="8">
      <c r="A8" s="11" t="inlineStr">
        <is>
          <t>seg.copper_ebitda</t>
        </is>
      </c>
      <c r="B8" s="11" t="inlineStr">
        <is>
          <t>Copper underlying EBITDA</t>
        </is>
      </c>
      <c r="C8" s="11" t="n">
        <v>12701</v>
      </c>
      <c r="D8" s="11" t="inlineStr">
        <is>
          <t>US$m</t>
        </is>
      </c>
      <c r="E8" s="11" t="inlineStr">
        <is>
          <t>hard_fact</t>
        </is>
      </c>
      <c r="F8" s="11" t="inlineStr">
        <is>
          <t>Company Filing</t>
        </is>
      </c>
      <c r="G8" s="11" t="inlineStr">
        <is>
          <t>yes</t>
        </is>
      </c>
      <c r="H8" s="11" t="inlineStr"/>
      <c r="I8" s="12" t="inlineStr"/>
      <c r="J8" s="12" t="inlineStr">
        <is>
          <t>AR25 p.21 (Total Copper from Group production)</t>
        </is>
      </c>
    </row>
    <row r="9">
      <c r="A9" s="11" t="inlineStr">
        <is>
          <t>seg.coal_ebitda</t>
        </is>
      </c>
      <c r="B9" s="11" t="inlineStr">
        <is>
          <t>Coal underlying EBITDA</t>
        </is>
      </c>
      <c r="C9" s="11" t="n">
        <v>721</v>
      </c>
      <c r="D9" s="11" t="inlineStr">
        <is>
          <t>US$m</t>
        </is>
      </c>
      <c r="E9" s="11" t="inlineStr">
        <is>
          <t>hard_fact</t>
        </is>
      </c>
      <c r="F9" s="11" t="inlineStr">
        <is>
          <t>Company Filing</t>
        </is>
      </c>
      <c r="G9" s="11" t="inlineStr">
        <is>
          <t>yes</t>
        </is>
      </c>
      <c r="H9" s="11" t="inlineStr"/>
      <c r="I9" s="12" t="inlineStr"/>
      <c r="J9" s="12" t="inlineStr">
        <is>
          <t>AR25 p.21 (BMA + NSWEC)</t>
        </is>
      </c>
    </row>
    <row r="10">
      <c r="A10" s="11" t="inlineStr">
        <is>
          <t>seg.jansen_invested</t>
        </is>
      </c>
      <c r="B10" s="11" t="inlineStr">
        <is>
          <t>Potash/Jansen capital invested</t>
        </is>
      </c>
      <c r="C10" s="11" t="n">
        <v>8524</v>
      </c>
      <c r="D10" s="11" t="inlineStr">
        <is>
          <t>US$m</t>
        </is>
      </c>
      <c r="E10" s="11" t="inlineStr">
        <is>
          <t>hard_fact</t>
        </is>
      </c>
      <c r="F10" s="11" t="inlineStr">
        <is>
          <t>Company Filing</t>
        </is>
      </c>
      <c r="G10" s="11" t="inlineStr">
        <is>
          <t>yes</t>
        </is>
      </c>
      <c r="H10" s="11" t="inlineStr"/>
      <c r="I10" s="12" t="inlineStr"/>
      <c r="J10" s="12" t="inlineStr">
        <is>
          <t>AR25 p.21 (Potash net operating assets)</t>
        </is>
      </c>
    </row>
    <row r="11">
      <c r="A11" s="11" t="inlineStr">
        <is>
          <t>group.ebitda</t>
        </is>
      </c>
      <c r="B11" s="11" t="inlineStr">
        <is>
          <t>Group underlying EBITDA</t>
        </is>
      </c>
      <c r="C11" s="11" t="n">
        <v>25978</v>
      </c>
      <c r="D11" s="11" t="inlineStr">
        <is>
          <t>US$m</t>
        </is>
      </c>
      <c r="E11" s="11" t="inlineStr">
        <is>
          <t>hard_fact</t>
        </is>
      </c>
      <c r="F11" s="11" t="inlineStr">
        <is>
          <t>Company Filing</t>
        </is>
      </c>
      <c r="G11" s="11" t="inlineStr">
        <is>
          <t>yes</t>
        </is>
      </c>
      <c r="H11" s="11" t="inlineStr"/>
      <c r="I11" s="12" t="inlineStr"/>
      <c r="J11" s="12" t="inlineStr">
        <is>
          <t>AR25 p.21</t>
        </is>
      </c>
    </row>
    <row r="12">
      <c r="A12" s="11" t="inlineStr">
        <is>
          <t>group.da</t>
        </is>
      </c>
      <c r="B12" s="11" t="inlineStr">
        <is>
          <t>Depreciation &amp; amortisation</t>
        </is>
      </c>
      <c r="C12" s="11" t="n">
        <v>5540</v>
      </c>
      <c r="D12" s="11" t="inlineStr">
        <is>
          <t>US$m</t>
        </is>
      </c>
      <c r="E12" s="11" t="inlineStr">
        <is>
          <t>hard_fact</t>
        </is>
      </c>
      <c r="F12" s="11" t="inlineStr">
        <is>
          <t>Company Filing</t>
        </is>
      </c>
      <c r="G12" s="11" t="inlineStr">
        <is>
          <t>yes</t>
        </is>
      </c>
      <c r="H12" s="11" t="inlineStr"/>
      <c r="I12" s="12" t="inlineStr"/>
      <c r="J12" s="12" t="inlineStr">
        <is>
          <t>AR25 Notes 11+12</t>
        </is>
      </c>
    </row>
    <row r="13">
      <c r="A13" s="11" t="inlineStr">
        <is>
          <t>group.net_debt</t>
        </is>
      </c>
      <c r="B13" s="11" t="inlineStr">
        <is>
          <t>Net debt</t>
        </is>
      </c>
      <c r="C13" s="11" t="n">
        <v>12924</v>
      </c>
      <c r="D13" s="11" t="inlineStr">
        <is>
          <t>US$m</t>
        </is>
      </c>
      <c r="E13" s="11" t="inlineStr">
        <is>
          <t>hard_fact</t>
        </is>
      </c>
      <c r="F13" s="11" t="inlineStr">
        <is>
          <t>Company Filing</t>
        </is>
      </c>
      <c r="G13" s="11" t="inlineStr">
        <is>
          <t>yes</t>
        </is>
      </c>
      <c r="H13" s="11" t="inlineStr"/>
      <c r="I13" s="12" t="inlineStr"/>
      <c r="J13" s="12" t="inlineStr">
        <is>
          <t>AR25 Note 21 / p.21</t>
        </is>
      </c>
    </row>
    <row r="14">
      <c r="A14" s="11" t="inlineStr">
        <is>
          <t>group.nci</t>
        </is>
      </c>
      <c r="B14" s="11" t="inlineStr">
        <is>
          <t>Non-controlling interests</t>
        </is>
      </c>
      <c r="C14" s="11" t="n">
        <v>4553</v>
      </c>
      <c r="D14" s="11" t="inlineStr">
        <is>
          <t>US$m</t>
        </is>
      </c>
      <c r="E14" s="11" t="inlineStr">
        <is>
          <t>hard_fact</t>
        </is>
      </c>
      <c r="F14" s="11" t="inlineStr">
        <is>
          <t>Company Filing</t>
        </is>
      </c>
      <c r="G14" s="11" t="inlineStr">
        <is>
          <t>yes</t>
        </is>
      </c>
      <c r="H14" s="11" t="inlineStr"/>
      <c r="I14" s="12" t="inlineStr"/>
      <c r="J14" s="12" t="inlineStr">
        <is>
          <t>AR25 Note 18</t>
        </is>
      </c>
    </row>
    <row r="15">
      <c r="A15" s="11" t="inlineStr">
        <is>
          <t>price.iron_ore_realised</t>
        </is>
      </c>
      <c r="B15" s="11" t="inlineStr">
        <is>
          <t>Iron ore realised price (WAIO)</t>
        </is>
      </c>
      <c r="C15" s="11" t="n">
        <v>82.13</v>
      </c>
      <c r="D15" s="11" t="inlineStr">
        <is>
          <t>US$/wmt</t>
        </is>
      </c>
      <c r="E15" s="11" t="inlineStr">
        <is>
          <t>hard_fact</t>
        </is>
      </c>
      <c r="F15" s="11" t="inlineStr">
        <is>
          <t>Company Filing</t>
        </is>
      </c>
      <c r="G15" s="11" t="inlineStr">
        <is>
          <t>yes</t>
        </is>
      </c>
      <c r="H15" s="11" t="inlineStr"/>
      <c r="I15" s="12" t="inlineStr"/>
      <c r="J15" s="12" t="inlineStr">
        <is>
          <t>AR25 p.12</t>
        </is>
      </c>
    </row>
    <row r="16">
      <c r="A16" s="11" t="inlineStr">
        <is>
          <t>price.copper_realised</t>
        </is>
      </c>
      <c r="B16" s="11" t="inlineStr">
        <is>
          <t>Copper realised price</t>
        </is>
      </c>
      <c r="C16" s="11" t="n">
        <v>4.25</v>
      </c>
      <c r="D16" s="11" t="inlineStr">
        <is>
          <t>US$/lb</t>
        </is>
      </c>
      <c r="E16" s="11" t="inlineStr">
        <is>
          <t>hard_fact</t>
        </is>
      </c>
      <c r="F16" s="11" t="inlineStr">
        <is>
          <t>Company Filing</t>
        </is>
      </c>
      <c r="G16" s="11" t="inlineStr">
        <is>
          <t>yes</t>
        </is>
      </c>
      <c r="H16" s="11" t="inlineStr"/>
      <c r="I16" s="12" t="inlineStr"/>
      <c r="J16" s="12" t="inlineStr">
        <is>
          <t>AR25 p.7</t>
        </is>
      </c>
    </row>
    <row r="17">
      <c r="A17" s="11" t="inlineStr">
        <is>
          <t>mult.iron_ore</t>
        </is>
      </c>
      <c r="B17" s="11" t="inlineStr">
        <is>
          <t>Iron Ore EV/EBITDA multiple</t>
        </is>
      </c>
      <c r="C17" s="11" t="n">
        <v>5.5</v>
      </c>
      <c r="D17" s="11" t="inlineStr">
        <is>
          <t>x</t>
        </is>
      </c>
      <c r="E17" s="11" t="inlineStr">
        <is>
          <t>discretionary</t>
        </is>
      </c>
      <c r="F17" s="11" t="inlineStr">
        <is>
          <t>Analyst Estimate</t>
        </is>
      </c>
      <c r="G17" s="11" t="inlineStr">
        <is>
          <t>yes</t>
        </is>
      </c>
      <c r="H17" s="11" t="inlineStr"/>
      <c r="I17" s="12" t="inlineStr">
        <is>
          <t>Iron-ore majors trade ~5-6x mid-cycle; WAIO is the lowest-cost major -&gt; 5.5x.</t>
        </is>
      </c>
      <c r="J17" s="12" t="inlineStr">
        <is>
          <t>RIO/FMG/VALE peer set, mid-2026</t>
        </is>
      </c>
    </row>
    <row r="18">
      <c r="A18" s="11" t="inlineStr">
        <is>
          <t>mult.copper</t>
        </is>
      </c>
      <c r="B18" s="11" t="inlineStr">
        <is>
          <t>Copper EV/EBITDA multiple</t>
        </is>
      </c>
      <c r="C18" s="11" t="n">
        <v>8</v>
      </c>
      <c r="D18" s="11" t="inlineStr">
        <is>
          <t>x</t>
        </is>
      </c>
      <c r="E18" s="11" t="inlineStr">
        <is>
          <t>discretionary</t>
        </is>
      </c>
      <c r="F18" s="11" t="inlineStr">
        <is>
          <t>Analyst Estimate</t>
        </is>
      </c>
      <c r="G18" s="11" t="inlineStr">
        <is>
          <t>yes</t>
        </is>
      </c>
      <c r="H18" s="11" t="inlineStr"/>
      <c r="I18" s="12" t="inlineStr">
        <is>
          <t>Copper growth premium (electrification demand); peers ~7-9x -&gt; 8.0x.</t>
        </is>
      </c>
      <c r="J18" s="12" t="inlineStr">
        <is>
          <t>FCX/Antofagasta peer set, mid-2026</t>
        </is>
      </c>
    </row>
    <row r="19">
      <c r="A19" s="11" t="inlineStr">
        <is>
          <t>mult.coal</t>
        </is>
      </c>
      <c r="B19" s="11" t="inlineStr">
        <is>
          <t>Coal EV/EBITDA multiple</t>
        </is>
      </c>
      <c r="C19" s="11" t="n">
        <v>4</v>
      </c>
      <c r="D19" s="11" t="inlineStr">
        <is>
          <t>x</t>
        </is>
      </c>
      <c r="E19" s="11" t="inlineStr">
        <is>
          <t>discretionary</t>
        </is>
      </c>
      <c r="F19" s="11" t="inlineStr">
        <is>
          <t>Analyst Estimate</t>
        </is>
      </c>
      <c r="G19" s="11" t="inlineStr">
        <is>
          <t>yes</t>
        </is>
      </c>
      <c r="H19" s="11" t="inlineStr"/>
      <c r="I19" s="12" t="inlineStr">
        <is>
          <t>ESG-discounted; blended steelmaking + thermal -&gt; 4.0x.</t>
        </is>
      </c>
      <c r="J19" s="12" t="inlineStr">
        <is>
          <t>Whitehaven/coal peer set, mid-2026</t>
        </is>
      </c>
    </row>
    <row r="20">
      <c r="A20" s="11" t="inlineStr">
        <is>
          <t>mult.corporate</t>
        </is>
      </c>
      <c r="B20" s="11" t="inlineStr">
        <is>
          <t>Corporate-cost capitalisation multiple</t>
        </is>
      </c>
      <c r="C20" s="11" t="n">
        <v>6</v>
      </c>
      <c r="D20" s="11" t="inlineStr">
        <is>
          <t>x</t>
        </is>
      </c>
      <c r="E20" s="11" t="inlineStr">
        <is>
          <t>discretionary</t>
        </is>
      </c>
      <c r="F20" s="11" t="inlineStr">
        <is>
          <t>Analyst Estimate</t>
        </is>
      </c>
      <c r="G20" s="11" t="inlineStr">
        <is>
          <t>yes</t>
        </is>
      </c>
      <c r="H20" s="11" t="inlineStr"/>
      <c r="I20" s="12" t="inlineStr">
        <is>
          <t>Capitalise recurring unallocated cost at the group blended multiple.</t>
        </is>
      </c>
      <c r="J20" s="12" t="inlineStr">
        <is>
          <t>group average</t>
        </is>
      </c>
    </row>
    <row r="21">
      <c r="A21" s="11" t="inlineStr">
        <is>
          <t>wacc.risk_free</t>
        </is>
      </c>
      <c r="B21" s="11" t="inlineStr">
        <is>
          <t>Risk-free rate</t>
        </is>
      </c>
      <c r="C21" s="11" t="n">
        <v>4.2</v>
      </c>
      <c r="D21" s="11" t="inlineStr">
        <is>
          <t>%</t>
        </is>
      </c>
      <c r="E21" s="11" t="inlineStr">
        <is>
          <t>discretionary</t>
        </is>
      </c>
      <c r="F21" s="11" t="inlineStr">
        <is>
          <t>External Data</t>
        </is>
      </c>
      <c r="G21" s="11" t="inlineStr">
        <is>
          <t>yes</t>
        </is>
      </c>
      <c r="H21" s="11" t="inlineStr"/>
      <c r="I21" s="12" t="inlineStr">
        <is>
          <t>USD cash-flow basis (BHP reports USD).</t>
        </is>
      </c>
      <c r="J21" s="12" t="inlineStr">
        <is>
          <t>US 10Y Treasury (FRED)</t>
        </is>
      </c>
    </row>
    <row r="22">
      <c r="A22" s="11" t="inlineStr">
        <is>
          <t>wacc.erp</t>
        </is>
      </c>
      <c r="B22" s="11" t="inlineStr">
        <is>
          <t>Equity risk premium</t>
        </is>
      </c>
      <c r="C22" s="11" t="n">
        <v>4.8</v>
      </c>
      <c r="D22" s="11" t="inlineStr">
        <is>
          <t>%</t>
        </is>
      </c>
      <c r="E22" s="11" t="inlineStr">
        <is>
          <t>discretionary</t>
        </is>
      </c>
      <c r="F22" s="11" t="inlineStr">
        <is>
          <t>Analyst Estimate</t>
        </is>
      </c>
      <c r="G22" s="11" t="inlineStr">
        <is>
          <t>yes</t>
        </is>
      </c>
      <c r="H22" s="11" t="inlineStr"/>
      <c r="I22" s="12" t="inlineStr">
        <is>
          <t>Forward-looking implied preferred over historical.</t>
        </is>
      </c>
      <c r="J22" s="12" t="inlineStr">
        <is>
          <t>Damodaran implied, mid-2026</t>
        </is>
      </c>
    </row>
    <row r="23">
      <c r="A23" s="11" t="inlineStr">
        <is>
          <t>wacc.beta</t>
        </is>
      </c>
      <c r="B23" s="11" t="inlineStr">
        <is>
          <t>Equity beta</t>
        </is>
      </c>
      <c r="C23" s="11" t="n">
        <v>0.825</v>
      </c>
      <c r="D23" s="11" t="inlineStr">
        <is>
          <t>x</t>
        </is>
      </c>
      <c r="E23" s="11" t="inlineStr">
        <is>
          <t>discretionary</t>
        </is>
      </c>
      <c r="F23" s="11" t="inlineStr">
        <is>
          <t>External Data</t>
        </is>
      </c>
      <c r="G23" s="11" t="inlineStr">
        <is>
          <t>yes</t>
        </is>
      </c>
      <c r="H23" s="11" t="inlineStr"/>
      <c r="I23" s="12" t="inlineStr">
        <is>
          <t>Live 5y beta; diversified-major range ~0.8-1.0.</t>
        </is>
      </c>
      <c r="J23" s="12" t="inlineStr">
        <is>
          <t>yfinance 5y (BHP.AX), live</t>
        </is>
      </c>
    </row>
    <row r="24">
      <c r="A24" s="11" t="inlineStr">
        <is>
          <t>wacc.cost_of_debt</t>
        </is>
      </c>
      <c r="B24" s="11" t="inlineStr">
        <is>
          <t>Pre-tax cost of debt</t>
        </is>
      </c>
      <c r="C24" s="11" t="n">
        <v>5.3</v>
      </c>
      <c r="D24" s="11" t="inlineStr">
        <is>
          <t>%</t>
        </is>
      </c>
      <c r="E24" s="11" t="inlineStr">
        <is>
          <t>discretionary</t>
        </is>
      </c>
      <c r="F24" s="11" t="inlineStr">
        <is>
          <t>Company Filing</t>
        </is>
      </c>
      <c r="G24" s="11" t="inlineStr">
        <is>
          <t>yes</t>
        </is>
      </c>
      <c r="H24" s="11" t="inlineStr"/>
      <c r="I24" s="12" t="inlineStr">
        <is>
          <t>Rating-implied; BHP ~A/A3.</t>
        </is>
      </c>
      <c r="J24" s="12" t="inlineStr">
        <is>
          <t>A-rated, rf + ~1.1% spread</t>
        </is>
      </c>
    </row>
    <row r="25">
      <c r="A25" s="11" t="inlineStr">
        <is>
          <t>wacc.tax_rate</t>
        </is>
      </c>
      <c r="B25" s="11" t="inlineStr">
        <is>
          <t>Tax rate</t>
        </is>
      </c>
      <c r="C25" s="11" t="n">
        <v>30</v>
      </c>
      <c r="D25" s="11" t="inlineStr">
        <is>
          <t>%</t>
        </is>
      </c>
      <c r="E25" s="11" t="inlineStr">
        <is>
          <t>discretionary</t>
        </is>
      </c>
      <c r="F25" s="11" t="inlineStr">
        <is>
          <t>External Data</t>
        </is>
      </c>
      <c r="G25" s="11" t="inlineStr">
        <is>
          <t>yes</t>
        </is>
      </c>
      <c r="H25" s="11" t="inlineStr"/>
      <c r="I25" s="12" t="inlineStr">
        <is>
          <t>Statutory 30%; royalties modelled as cost above EBITDA, not in the tax rate.</t>
        </is>
      </c>
      <c r="J25" s="12" t="inlineStr">
        <is>
          <t>AUS statutory</t>
        </is>
      </c>
    </row>
    <row r="26">
      <c r="A26" s="11" t="inlineStr">
        <is>
          <t>dcf.sustaining_capex</t>
        </is>
      </c>
      <c r="B26" s="11" t="inlineStr">
        <is>
          <t>Sustaining capex (group)</t>
        </is>
      </c>
      <c r="C26" s="11" t="n">
        <v>7000</v>
      </c>
      <c r="D26" s="11" t="inlineStr">
        <is>
          <t>US$m</t>
        </is>
      </c>
      <c r="E26" s="11" t="inlineStr">
        <is>
          <t>discretionary</t>
        </is>
      </c>
      <c r="F26" s="11" t="inlineStr">
        <is>
          <t>Assumption</t>
        </is>
      </c>
      <c r="G26" s="11" t="inlineStr">
        <is>
          <t>yes</t>
        </is>
      </c>
      <c r="H26" s="11" t="inlineStr"/>
      <c r="I26" s="12" t="inlineStr">
        <is>
          <t>Total capex less Jansen/copper growth ~US$7bn.</t>
        </is>
      </c>
      <c r="J26" s="12" t="inlineStr">
        <is>
          <t>derived from AR25 capex US$9.8bn less growth</t>
        </is>
      </c>
    </row>
    <row r="27">
      <c r="A27" s="11" t="inlineStr">
        <is>
          <t>dcf.long_run_growth</t>
        </is>
      </c>
      <c r="B27" s="11" t="inlineStr">
        <is>
          <t>Long-run FCF growth</t>
        </is>
      </c>
      <c r="C27" s="11" t="n">
        <v>2</v>
      </c>
      <c r="D27" s="11" t="inlineStr">
        <is>
          <t>%</t>
        </is>
      </c>
      <c r="E27" s="11" t="inlineStr">
        <is>
          <t>discretionary</t>
        </is>
      </c>
      <c r="F27" s="11" t="inlineStr">
        <is>
          <t>Assumption</t>
        </is>
      </c>
      <c r="G27" s="11" t="inlineStr">
        <is>
          <t>yes</t>
        </is>
      </c>
      <c r="H27" s="11" t="inlineStr"/>
      <c r="I27" s="12" t="inlineStr">
        <is>
          <t>Nominal ~inflation perpetuity for a long-life, reinvesting major.</t>
        </is>
      </c>
      <c r="J27" s="12" t="inlineStr">
        <is>
          <t>house assumption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Sensitivity -- per share</t>
        </is>
      </c>
    </row>
    <row r="2">
      <c r="A2" t="inlineStr">
        <is>
          <t>rows: WACC   ·   cols: uniform commodity-price shift</t>
        </is>
      </c>
    </row>
    <row r="4">
      <c r="A4" s="3" t="inlineStr">
        <is>
          <t>WACC \ price</t>
        </is>
      </c>
      <c r="B4" s="13" t="n">
        <v>-0.15</v>
      </c>
      <c r="C4" s="13" t="n">
        <v>-0.07499999999999996</v>
      </c>
      <c r="D4" s="13" t="n">
        <v>0</v>
      </c>
      <c r="E4" s="13" t="n">
        <v>0.07499999999999996</v>
      </c>
      <c r="F4" s="13" t="n">
        <v>0.1499999999999999</v>
      </c>
    </row>
    <row r="5">
      <c r="A5" s="13" t="n">
        <v>0.06900414033402236</v>
      </c>
      <c r="B5" s="14" t="n">
        <v>48.2</v>
      </c>
      <c r="C5" s="14" t="n">
        <v>54.22</v>
      </c>
      <c r="D5" s="14" t="n">
        <v>60.24</v>
      </c>
      <c r="E5" s="14" t="n">
        <v>66.26000000000001</v>
      </c>
      <c r="F5" s="14" t="n">
        <v>72.28</v>
      </c>
    </row>
    <row r="6">
      <c r="A6" s="13" t="n">
        <v>0.07400414033402235</v>
      </c>
      <c r="B6" s="14" t="n">
        <v>45.42</v>
      </c>
      <c r="C6" s="14" t="n">
        <v>51.06</v>
      </c>
      <c r="D6" s="14" t="n">
        <v>56.71</v>
      </c>
      <c r="E6" s="14" t="n">
        <v>62.35</v>
      </c>
      <c r="F6" s="14" t="n">
        <v>68</v>
      </c>
    </row>
    <row r="7">
      <c r="A7" s="13" t="n">
        <v>0.07900414033402235</v>
      </c>
      <c r="B7" s="14" t="n">
        <v>43.11</v>
      </c>
      <c r="C7" s="14" t="n">
        <v>48.44</v>
      </c>
      <c r="D7" s="10" t="n">
        <v>53.77</v>
      </c>
      <c r="E7" s="14" t="n">
        <v>59.11</v>
      </c>
      <c r="F7" s="14" t="n">
        <v>64.44</v>
      </c>
    </row>
    <row r="8">
      <c r="A8" s="13" t="n">
        <v>0.08400414033402236</v>
      </c>
      <c r="B8" s="14" t="n">
        <v>41.16</v>
      </c>
      <c r="C8" s="14" t="n">
        <v>46.23</v>
      </c>
      <c r="D8" s="14" t="n">
        <v>51.3</v>
      </c>
      <c r="E8" s="14" t="n">
        <v>56.37</v>
      </c>
      <c r="F8" s="14" t="n">
        <v>61.44</v>
      </c>
    </row>
    <row r="9">
      <c r="A9" s="13" t="n">
        <v>0.08900414033402235</v>
      </c>
      <c r="B9" s="14" t="n">
        <v>39.49</v>
      </c>
      <c r="C9" s="14" t="n">
        <v>44.33</v>
      </c>
      <c r="D9" s="14" t="n">
        <v>49.18</v>
      </c>
      <c r="E9" s="14" t="n">
        <v>54.02</v>
      </c>
      <c r="F9" s="14" t="n">
        <v>58.87</v>
      </c>
    </row>
    <row r="12">
      <c r="A12" s="3" t="inlineStr">
        <is>
          <t>Scenario</t>
        </is>
      </c>
      <c r="B12" s="3" t="inlineStr">
        <is>
          <t>Per share</t>
        </is>
      </c>
    </row>
    <row r="13">
      <c r="A13" t="inlineStr">
        <is>
          <t>Bear (-15% px, +1% WACC)</t>
        </is>
      </c>
      <c r="B13" s="14" t="n">
        <v>39.49</v>
      </c>
    </row>
    <row r="14">
      <c r="A14" t="inlineStr">
        <is>
          <t>Base</t>
        </is>
      </c>
      <c r="B14" s="14" t="n">
        <v>53.77</v>
      </c>
    </row>
    <row r="15">
      <c r="A15" t="inlineStr">
        <is>
          <t>Bull (+15% px, -1% WACC)</t>
        </is>
      </c>
      <c r="B15" s="14" t="n">
        <v>72.28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2026-07-02T12:08:15Z</dcterms:created>
  <dcterms:modified xmlns:dcterms="http://purl.org/dc/terms/" xmlns:xsi="http://www.w3.org/2001/XMLSchema-instance" xsi:type="dcterms:W3CDTF">2026-07-02T12:08:15Z</dcterms:modified>
</cp:coreProperties>
</file>